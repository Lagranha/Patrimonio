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 - Condomín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5">
    <font>
      <name val="Calibri"/>
      <family val="2"/>
      <color theme="1"/>
      <sz val="11"/>
      <scheme val="minor"/>
    </font>
    <font>
      <name val="Segoe UI"/>
      <b val="1"/>
      <color rgb="001E4B3E"/>
      <sz val="14"/>
    </font>
    <font>
      <name val="Segoe UI"/>
      <b val="1"/>
      <color rgb="00FFFFFF"/>
      <sz val="11"/>
    </font>
    <font>
      <name val="Segoe UI"/>
      <b val="1"/>
      <color rgb="00006100"/>
      <sz val="11"/>
    </font>
    <font>
      <name val="Segoe U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E4B3E"/>
        <bgColor rgb="001E4B3E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E8F2EF"/>
        <bgColor rgb="00E8F2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2">
      <c r="B2" s="1" t="inlineStr">
        <is>
          <t>BASE DE DADOS - INADIMPLÊNCIA CONDOMÍNIO X</t>
        </is>
      </c>
    </row>
    <row r="4">
      <c r="B4" s="2" t="inlineStr">
        <is>
          <t>ID_Cobranca</t>
        </is>
      </c>
      <c r="C4" s="2" t="inlineStr">
        <is>
          <t>Competencia</t>
        </is>
      </c>
      <c r="D4" s="2" t="inlineStr">
        <is>
          <t>Unidade</t>
        </is>
      </c>
      <c r="E4" s="2" t="inlineStr">
        <is>
          <t>Morador</t>
        </is>
      </c>
      <c r="F4" s="2" t="inlineStr">
        <is>
          <t>Data_Vencimento</t>
        </is>
      </c>
      <c r="G4" s="2" t="inlineStr">
        <is>
          <t>Valor_Cota</t>
        </is>
      </c>
      <c r="H4" s="2" t="inlineStr">
        <is>
          <t>Status</t>
        </is>
      </c>
      <c r="I4" s="2" t="inlineStr">
        <is>
          <t>Data_Pagamento</t>
        </is>
      </c>
      <c r="J4" s="2" t="inlineStr">
        <is>
          <t>Dias_Em_Atraso</t>
        </is>
      </c>
      <c r="K4" s="2" t="inlineStr">
        <is>
          <t>Faixa_de_Atraso</t>
        </is>
      </c>
    </row>
    <row r="5">
      <c r="B5" s="3" t="n">
        <v>1</v>
      </c>
      <c r="C5" s="3" t="inlineStr">
        <is>
          <t>01/2026</t>
        </is>
      </c>
      <c r="D5" s="3" t="inlineStr">
        <is>
          <t>Apto 101</t>
        </is>
      </c>
      <c r="E5" s="4" t="inlineStr">
        <is>
          <t>Carlos Silva</t>
        </is>
      </c>
      <c r="F5" s="5" t="n">
        <v>46032</v>
      </c>
      <c r="G5" s="6" t="n">
        <v>870</v>
      </c>
      <c r="H5" s="7" t="inlineStr">
        <is>
          <t>Pago</t>
        </is>
      </c>
      <c r="I5" s="5" t="n">
        <v>46034</v>
      </c>
      <c r="J5" s="3">
        <f>IF(ISBLANK(I5), IF(TODAY()&gt;F5, TODAY()-F5, 0), 0)</f>
        <v/>
      </c>
      <c r="K5" s="3">
        <f>IF(J5&gt;90, "Acima de 90 dias", IF(J5&gt;30, "De 30 a 90 dias", IF(J5&gt;0, "Até 30 dias", "Em dia")))</f>
        <v/>
      </c>
    </row>
    <row r="6">
      <c r="B6" s="8" t="n">
        <v>2</v>
      </c>
      <c r="C6" s="8" t="inlineStr">
        <is>
          <t>01/2026</t>
        </is>
      </c>
      <c r="D6" s="8" t="inlineStr">
        <is>
          <t>Apto 102</t>
        </is>
      </c>
      <c r="E6" s="9" t="inlineStr">
        <is>
          <t>Mariana Costa</t>
        </is>
      </c>
      <c r="F6" s="10" t="n">
        <v>46032</v>
      </c>
      <c r="G6" s="11" t="n">
        <v>871</v>
      </c>
      <c r="H6" s="12" t="inlineStr">
        <is>
          <t>Vencido</t>
        </is>
      </c>
      <c r="I6" s="8" t="n"/>
      <c r="J6" s="8">
        <f>IF(ISBLANK(I6), IF(TODAY()&gt;F6, TODAY()-F6, 0), 0)</f>
        <v/>
      </c>
      <c r="K6" s="8">
        <f>IF(J6&gt;90, "Acima de 90 dias", IF(J6&gt;30, "De 30 a 90 dias", IF(J6&gt;0, "Até 30 dias", "Em dia")))</f>
        <v/>
      </c>
    </row>
    <row r="7">
      <c r="B7" s="3" t="n">
        <v>3</v>
      </c>
      <c r="C7" s="3" t="inlineStr">
        <is>
          <t>01/2026</t>
        </is>
      </c>
      <c r="D7" s="3" t="inlineStr">
        <is>
          <t>Apto 201</t>
        </is>
      </c>
      <c r="E7" s="4" t="inlineStr">
        <is>
          <t>Roberto Alves</t>
        </is>
      </c>
      <c r="F7" s="5" t="n">
        <v>46032</v>
      </c>
      <c r="G7" s="6" t="n">
        <v>871</v>
      </c>
      <c r="H7" s="7" t="inlineStr">
        <is>
          <t>Pago</t>
        </is>
      </c>
      <c r="I7" s="5" t="n">
        <v>46034</v>
      </c>
      <c r="J7" s="3">
        <f>IF(ISBLANK(I7), IF(TODAY()&gt;F7, TODAY()-F7, 0), 0)</f>
        <v/>
      </c>
      <c r="K7" s="3">
        <f>IF(J7&gt;90, "Acima de 90 dias", IF(J7&gt;30, "De 30 a 90 dias", IF(J7&gt;0, "Até 30 dias", "Em dia")))</f>
        <v/>
      </c>
    </row>
    <row r="8">
      <c r="B8" s="8" t="n">
        <v>4</v>
      </c>
      <c r="C8" s="8" t="inlineStr">
        <is>
          <t>01/2026</t>
        </is>
      </c>
      <c r="D8" s="8" t="inlineStr">
        <is>
          <t>Apto 202</t>
        </is>
      </c>
      <c r="E8" s="9" t="inlineStr">
        <is>
          <t>Fernanda Lima</t>
        </is>
      </c>
      <c r="F8" s="10" t="n">
        <v>46032</v>
      </c>
      <c r="G8" s="11" t="n">
        <v>871</v>
      </c>
      <c r="H8" s="7" t="inlineStr">
        <is>
          <t>Pago</t>
        </is>
      </c>
      <c r="I8" s="10" t="n">
        <v>46034</v>
      </c>
      <c r="J8" s="8">
        <f>IF(ISBLANK(I8), IF(TODAY()&gt;F8, TODAY()-F8, 0), 0)</f>
        <v/>
      </c>
      <c r="K8" s="8">
        <f>IF(J8&gt;90, "Acima de 90 dias", IF(J8&gt;30, "De 30 a 90 dias", IF(J8&gt;0, "Até 30 dias", "Em dia")))</f>
        <v/>
      </c>
    </row>
    <row r="9">
      <c r="B9" s="3" t="n">
        <v>5</v>
      </c>
      <c r="C9" s="3" t="inlineStr">
        <is>
          <t>01/2026</t>
        </is>
      </c>
      <c r="D9" s="3" t="inlineStr">
        <is>
          <t>Apto 301</t>
        </is>
      </c>
      <c r="E9" s="4" t="inlineStr">
        <is>
          <t>João Paulo</t>
        </is>
      </c>
      <c r="F9" s="5" t="n">
        <v>46032</v>
      </c>
      <c r="G9" s="6" t="n">
        <v>868</v>
      </c>
      <c r="H9" s="7" t="inlineStr">
        <is>
          <t>Pago</t>
        </is>
      </c>
      <c r="I9" s="5" t="n">
        <v>46034</v>
      </c>
      <c r="J9" s="3">
        <f>IF(ISBLANK(I9), IF(TODAY()&gt;F9, TODAY()-F9, 0), 0)</f>
        <v/>
      </c>
      <c r="K9" s="3">
        <f>IF(J9&gt;90, "Acima de 90 dias", IF(J9&gt;30, "De 30 a 90 dias", IF(J9&gt;0, "Até 30 dias", "Em dia")))</f>
        <v/>
      </c>
    </row>
    <row r="10">
      <c r="B10" s="8" t="n">
        <v>6</v>
      </c>
      <c r="C10" s="8" t="inlineStr">
        <is>
          <t>01/2026</t>
        </is>
      </c>
      <c r="D10" s="8" t="inlineStr">
        <is>
          <t>Apto 302</t>
        </is>
      </c>
      <c r="E10" s="9" t="inlineStr">
        <is>
          <t>Luciana Mendes</t>
        </is>
      </c>
      <c r="F10" s="10" t="n">
        <v>46032</v>
      </c>
      <c r="G10" s="11" t="n">
        <v>872</v>
      </c>
      <c r="H10" s="7" t="inlineStr">
        <is>
          <t>Pago</t>
        </is>
      </c>
      <c r="I10" s="10" t="n">
        <v>46034</v>
      </c>
      <c r="J10" s="8">
        <f>IF(ISBLANK(I10), IF(TODAY()&gt;F10, TODAY()-F10, 0), 0)</f>
        <v/>
      </c>
      <c r="K10" s="8">
        <f>IF(J10&gt;90, "Acima de 90 dias", IF(J10&gt;30, "De 30 a 90 dias", IF(J10&gt;0, "Até 30 dias", "Em dia")))</f>
        <v/>
      </c>
    </row>
    <row r="11">
      <c r="B11" s="3" t="n">
        <v>7</v>
      </c>
      <c r="C11" s="3" t="inlineStr">
        <is>
          <t>01/2026</t>
        </is>
      </c>
      <c r="D11" s="3" t="inlineStr">
        <is>
          <t>Apto 401</t>
        </is>
      </c>
      <c r="E11" s="4" t="inlineStr">
        <is>
          <t>Pedro Henrique</t>
        </is>
      </c>
      <c r="F11" s="5" t="n">
        <v>46032</v>
      </c>
      <c r="G11" s="6" t="n">
        <v>872</v>
      </c>
      <c r="H11" s="7" t="inlineStr">
        <is>
          <t>Pago</t>
        </is>
      </c>
      <c r="I11" s="5" t="n">
        <v>46034</v>
      </c>
      <c r="J11" s="3">
        <f>IF(ISBLANK(I11), IF(TODAY()&gt;F11, TODAY()-F11, 0), 0)</f>
        <v/>
      </c>
      <c r="K11" s="3">
        <f>IF(J11&gt;90, "Acima de 90 dias", IF(J11&gt;30, "De 30 a 90 dias", IF(J11&gt;0, "Até 30 dias", "Em dia")))</f>
        <v/>
      </c>
    </row>
    <row r="12">
      <c r="B12" s="8" t="n">
        <v>8</v>
      </c>
      <c r="C12" s="8" t="inlineStr">
        <is>
          <t>01/2026</t>
        </is>
      </c>
      <c r="D12" s="8" t="inlineStr">
        <is>
          <t>Apto 402</t>
        </is>
      </c>
      <c r="E12" s="9" t="inlineStr">
        <is>
          <t>Camila Rocha</t>
        </is>
      </c>
      <c r="F12" s="10" t="n">
        <v>46032</v>
      </c>
      <c r="G12" s="11" t="n">
        <v>870</v>
      </c>
      <c r="H12" s="12" t="inlineStr">
        <is>
          <t>Vencido</t>
        </is>
      </c>
      <c r="I12" s="8" t="n"/>
      <c r="J12" s="8">
        <f>IF(ISBLANK(I12), IF(TODAY()&gt;F12, TODAY()-F12, 0), 0)</f>
        <v/>
      </c>
      <c r="K12" s="8">
        <f>IF(J12&gt;90, "Acima de 90 dias", IF(J12&gt;30, "De 30 a 90 dias", IF(J12&gt;0, "Até 30 dias", "Em dia")))</f>
        <v/>
      </c>
    </row>
    <row r="13">
      <c r="B13" s="3" t="n">
        <v>9</v>
      </c>
      <c r="C13" s="3" t="inlineStr">
        <is>
          <t>02/2026</t>
        </is>
      </c>
      <c r="D13" s="3" t="inlineStr">
        <is>
          <t>Apto 101</t>
        </is>
      </c>
      <c r="E13" s="4" t="inlineStr">
        <is>
          <t>Carlos Silva</t>
        </is>
      </c>
      <c r="F13" s="5" t="n">
        <v>46063</v>
      </c>
      <c r="G13" s="6" t="n">
        <v>890</v>
      </c>
      <c r="H13" s="7" t="inlineStr">
        <is>
          <t>Pago</t>
        </is>
      </c>
      <c r="I13" s="5" t="n">
        <v>46065</v>
      </c>
      <c r="J13" s="3">
        <f>IF(ISBLANK(I13), IF(TODAY()&gt;F13, TODAY()-F13, 0), 0)</f>
        <v/>
      </c>
      <c r="K13" s="3">
        <f>IF(J13&gt;90, "Acima de 90 dias", IF(J13&gt;30, "De 30 a 90 dias", IF(J13&gt;0, "Até 30 dias", "Em dia")))</f>
        <v/>
      </c>
    </row>
    <row r="14">
      <c r="B14" s="8" t="n">
        <v>10</v>
      </c>
      <c r="C14" s="8" t="inlineStr">
        <is>
          <t>02/2026</t>
        </is>
      </c>
      <c r="D14" s="8" t="inlineStr">
        <is>
          <t>Apto 102</t>
        </is>
      </c>
      <c r="E14" s="9" t="inlineStr">
        <is>
          <t>Mariana Costa</t>
        </is>
      </c>
      <c r="F14" s="10" t="n">
        <v>46063</v>
      </c>
      <c r="G14" s="11" t="n">
        <v>892</v>
      </c>
      <c r="H14" s="12" t="inlineStr">
        <is>
          <t>Vencido</t>
        </is>
      </c>
      <c r="I14" s="8" t="n"/>
      <c r="J14" s="8">
        <f>IF(ISBLANK(I14), IF(TODAY()&gt;F14, TODAY()-F14, 0), 0)</f>
        <v/>
      </c>
      <c r="K14" s="8">
        <f>IF(J14&gt;90, "Acima de 90 dias", IF(J14&gt;30, "De 30 a 90 dias", IF(J14&gt;0, "Até 30 dias", "Em dia")))</f>
        <v/>
      </c>
    </row>
    <row r="15">
      <c r="B15" s="3" t="n">
        <v>11</v>
      </c>
      <c r="C15" s="3" t="inlineStr">
        <is>
          <t>02/2026</t>
        </is>
      </c>
      <c r="D15" s="3" t="inlineStr">
        <is>
          <t>Apto 201</t>
        </is>
      </c>
      <c r="E15" s="4" t="inlineStr">
        <is>
          <t>Roberto Alves</t>
        </is>
      </c>
      <c r="F15" s="5" t="n">
        <v>46063</v>
      </c>
      <c r="G15" s="6" t="n">
        <v>892</v>
      </c>
      <c r="H15" s="7" t="inlineStr">
        <is>
          <t>Pago</t>
        </is>
      </c>
      <c r="I15" s="5" t="n">
        <v>46065</v>
      </c>
      <c r="J15" s="3">
        <f>IF(ISBLANK(I15), IF(TODAY()&gt;F15, TODAY()-F15, 0), 0)</f>
        <v/>
      </c>
      <c r="K15" s="3">
        <f>IF(J15&gt;90, "Acima de 90 dias", IF(J15&gt;30, "De 30 a 90 dias", IF(J15&gt;0, "Até 30 dias", "Em dia")))</f>
        <v/>
      </c>
    </row>
    <row r="16">
      <c r="B16" s="8" t="n">
        <v>12</v>
      </c>
      <c r="C16" s="8" t="inlineStr">
        <is>
          <t>02/2026</t>
        </is>
      </c>
      <c r="D16" s="8" t="inlineStr">
        <is>
          <t>Apto 202</t>
        </is>
      </c>
      <c r="E16" s="9" t="inlineStr">
        <is>
          <t>Fernanda Lima</t>
        </is>
      </c>
      <c r="F16" s="10" t="n">
        <v>46063</v>
      </c>
      <c r="G16" s="11" t="n">
        <v>892</v>
      </c>
      <c r="H16" s="7" t="inlineStr">
        <is>
          <t>Pago</t>
        </is>
      </c>
      <c r="I16" s="10" t="n">
        <v>46065</v>
      </c>
      <c r="J16" s="8">
        <f>IF(ISBLANK(I16), IF(TODAY()&gt;F16, TODAY()-F16, 0), 0)</f>
        <v/>
      </c>
      <c r="K16" s="8">
        <f>IF(J16&gt;90, "Acima de 90 dias", IF(J16&gt;30, "De 30 a 90 dias", IF(J16&gt;0, "Até 30 dias", "Em dia")))</f>
        <v/>
      </c>
    </row>
    <row r="17">
      <c r="B17" s="3" t="n">
        <v>13</v>
      </c>
      <c r="C17" s="3" t="inlineStr">
        <is>
          <t>02/2026</t>
        </is>
      </c>
      <c r="D17" s="3" t="inlineStr">
        <is>
          <t>Apto 301</t>
        </is>
      </c>
      <c r="E17" s="4" t="inlineStr">
        <is>
          <t>João Paulo</t>
        </is>
      </c>
      <c r="F17" s="5" t="n">
        <v>46063</v>
      </c>
      <c r="G17" s="6" t="n">
        <v>886</v>
      </c>
      <c r="H17" s="7" t="inlineStr">
        <is>
          <t>Pago</t>
        </is>
      </c>
      <c r="I17" s="5" t="n">
        <v>46065</v>
      </c>
      <c r="J17" s="3">
        <f>IF(ISBLANK(I17), IF(TODAY()&gt;F17, TODAY()-F17, 0), 0)</f>
        <v/>
      </c>
      <c r="K17" s="3">
        <f>IF(J17&gt;90, "Acima de 90 dias", IF(J17&gt;30, "De 30 a 90 dias", IF(J17&gt;0, "Até 30 dias", "Em dia")))</f>
        <v/>
      </c>
    </row>
    <row r="18">
      <c r="B18" s="8" t="n">
        <v>14</v>
      </c>
      <c r="C18" s="8" t="inlineStr">
        <is>
          <t>02/2026</t>
        </is>
      </c>
      <c r="D18" s="8" t="inlineStr">
        <is>
          <t>Apto 302</t>
        </is>
      </c>
      <c r="E18" s="9" t="inlineStr">
        <is>
          <t>Luciana Mendes</t>
        </is>
      </c>
      <c r="F18" s="10" t="n">
        <v>46063</v>
      </c>
      <c r="G18" s="11" t="n">
        <v>894</v>
      </c>
      <c r="H18" s="7" t="inlineStr">
        <is>
          <t>Pago</t>
        </is>
      </c>
      <c r="I18" s="10" t="n">
        <v>46065</v>
      </c>
      <c r="J18" s="8">
        <f>IF(ISBLANK(I18), IF(TODAY()&gt;F18, TODAY()-F18, 0), 0)</f>
        <v/>
      </c>
      <c r="K18" s="8">
        <f>IF(J18&gt;90, "Acima de 90 dias", IF(J18&gt;30, "De 30 a 90 dias", IF(J18&gt;0, "Até 30 dias", "Em dia")))</f>
        <v/>
      </c>
    </row>
    <row r="19">
      <c r="B19" s="3" t="n">
        <v>15</v>
      </c>
      <c r="C19" s="3" t="inlineStr">
        <is>
          <t>02/2026</t>
        </is>
      </c>
      <c r="D19" s="3" t="inlineStr">
        <is>
          <t>Apto 401</t>
        </is>
      </c>
      <c r="E19" s="4" t="inlineStr">
        <is>
          <t>Pedro Henrique</t>
        </is>
      </c>
      <c r="F19" s="5" t="n">
        <v>46063</v>
      </c>
      <c r="G19" s="6" t="n">
        <v>894</v>
      </c>
      <c r="H19" s="7" t="inlineStr">
        <is>
          <t>Pago</t>
        </is>
      </c>
      <c r="I19" s="5" t="n">
        <v>46065</v>
      </c>
      <c r="J19" s="3">
        <f>IF(ISBLANK(I19), IF(TODAY()&gt;F19, TODAY()-F19, 0), 0)</f>
        <v/>
      </c>
      <c r="K19" s="3">
        <f>IF(J19&gt;90, "Acima de 90 dias", IF(J19&gt;30, "De 30 a 90 dias", IF(J19&gt;0, "Até 30 dias", "Em dia")))</f>
        <v/>
      </c>
    </row>
    <row r="20">
      <c r="B20" s="8" t="n">
        <v>16</v>
      </c>
      <c r="C20" s="8" t="inlineStr">
        <is>
          <t>02/2026</t>
        </is>
      </c>
      <c r="D20" s="8" t="inlineStr">
        <is>
          <t>Apto 402</t>
        </is>
      </c>
      <c r="E20" s="9" t="inlineStr">
        <is>
          <t>Camila Rocha</t>
        </is>
      </c>
      <c r="F20" s="10" t="n">
        <v>46063</v>
      </c>
      <c r="G20" s="11" t="n">
        <v>890</v>
      </c>
      <c r="H20" s="12" t="inlineStr">
        <is>
          <t>Vencido</t>
        </is>
      </c>
      <c r="I20" s="8" t="n"/>
      <c r="J20" s="8">
        <f>IF(ISBLANK(I20), IF(TODAY()&gt;F20, TODAY()-F20, 0), 0)</f>
        <v/>
      </c>
      <c r="K20" s="8">
        <f>IF(J20&gt;90, "Acima de 90 dias", IF(J20&gt;30, "De 30 a 90 dias", IF(J20&gt;0, "Até 30 dias", "Em dia")))</f>
        <v/>
      </c>
    </row>
    <row r="21">
      <c r="B21" s="3" t="n">
        <v>17</v>
      </c>
      <c r="C21" s="3" t="inlineStr">
        <is>
          <t>03/2026</t>
        </is>
      </c>
      <c r="D21" s="3" t="inlineStr">
        <is>
          <t>Apto 101</t>
        </is>
      </c>
      <c r="E21" s="4" t="inlineStr">
        <is>
          <t>Carlos Silva</t>
        </is>
      </c>
      <c r="F21" s="5" t="n">
        <v>46091</v>
      </c>
      <c r="G21" s="6" t="n">
        <v>865</v>
      </c>
      <c r="H21" s="7" t="inlineStr">
        <is>
          <t>Pago</t>
        </is>
      </c>
      <c r="I21" s="5" t="n">
        <v>46093</v>
      </c>
      <c r="J21" s="3">
        <f>IF(ISBLANK(I21), IF(TODAY()&gt;F21, TODAY()-F21, 0), 0)</f>
        <v/>
      </c>
      <c r="K21" s="3">
        <f>IF(J21&gt;90, "Acima de 90 dias", IF(J21&gt;30, "De 30 a 90 dias", IF(J21&gt;0, "Até 30 dias", "Em dia")))</f>
        <v/>
      </c>
    </row>
    <row r="22">
      <c r="B22" s="8" t="n">
        <v>18</v>
      </c>
      <c r="C22" s="8" t="inlineStr">
        <is>
          <t>03/2026</t>
        </is>
      </c>
      <c r="D22" s="8" t="inlineStr">
        <is>
          <t>Apto 102</t>
        </is>
      </c>
      <c r="E22" s="9" t="inlineStr">
        <is>
          <t>Mariana Costa</t>
        </is>
      </c>
      <c r="F22" s="10" t="n">
        <v>46091</v>
      </c>
      <c r="G22" s="11" t="n">
        <v>868</v>
      </c>
      <c r="H22" s="12" t="inlineStr">
        <is>
          <t>Vencido</t>
        </is>
      </c>
      <c r="I22" s="8" t="n"/>
      <c r="J22" s="8">
        <f>IF(ISBLANK(I22), IF(TODAY()&gt;F22, TODAY()-F22, 0), 0)</f>
        <v/>
      </c>
      <c r="K22" s="8">
        <f>IF(J22&gt;90, "Acima de 90 dias", IF(J22&gt;30, "De 30 a 90 dias", IF(J22&gt;0, "Até 30 dias", "Em dia")))</f>
        <v/>
      </c>
    </row>
    <row r="23">
      <c r="B23" s="3" t="n">
        <v>19</v>
      </c>
      <c r="C23" s="3" t="inlineStr">
        <is>
          <t>03/2026</t>
        </is>
      </c>
      <c r="D23" s="3" t="inlineStr">
        <is>
          <t>Apto 201</t>
        </is>
      </c>
      <c r="E23" s="4" t="inlineStr">
        <is>
          <t>Roberto Alves</t>
        </is>
      </c>
      <c r="F23" s="5" t="n">
        <v>46091</v>
      </c>
      <c r="G23" s="6" t="n">
        <v>868</v>
      </c>
      <c r="H23" s="7" t="inlineStr">
        <is>
          <t>Pago</t>
        </is>
      </c>
      <c r="I23" s="5" t="n">
        <v>46093</v>
      </c>
      <c r="J23" s="3">
        <f>IF(ISBLANK(I23), IF(TODAY()&gt;F23, TODAY()-F23, 0), 0)</f>
        <v/>
      </c>
      <c r="K23" s="3">
        <f>IF(J23&gt;90, "Acima de 90 dias", IF(J23&gt;30, "De 30 a 90 dias", IF(J23&gt;0, "Até 30 dias", "Em dia")))</f>
        <v/>
      </c>
    </row>
    <row r="24">
      <c r="B24" s="8" t="n">
        <v>20</v>
      </c>
      <c r="C24" s="8" t="inlineStr">
        <is>
          <t>03/2026</t>
        </is>
      </c>
      <c r="D24" s="8" t="inlineStr">
        <is>
          <t>Apto 202</t>
        </is>
      </c>
      <c r="E24" s="9" t="inlineStr">
        <is>
          <t>Fernanda Lima</t>
        </is>
      </c>
      <c r="F24" s="10" t="n">
        <v>46091</v>
      </c>
      <c r="G24" s="11" t="n">
        <v>868</v>
      </c>
      <c r="H24" s="7" t="inlineStr">
        <is>
          <t>Pago</t>
        </is>
      </c>
      <c r="I24" s="10" t="n">
        <v>46093</v>
      </c>
      <c r="J24" s="8">
        <f>IF(ISBLANK(I24), IF(TODAY()&gt;F24, TODAY()-F24, 0), 0)</f>
        <v/>
      </c>
      <c r="K24" s="8">
        <f>IF(J24&gt;90, "Acima de 90 dias", IF(J24&gt;30, "De 30 a 90 dias", IF(J24&gt;0, "Até 30 dias", "Em dia")))</f>
        <v/>
      </c>
    </row>
    <row r="25">
      <c r="B25" s="3" t="n">
        <v>21</v>
      </c>
      <c r="C25" s="3" t="inlineStr">
        <is>
          <t>03/2026</t>
        </is>
      </c>
      <c r="D25" s="3" t="inlineStr">
        <is>
          <t>Apto 301</t>
        </is>
      </c>
      <c r="E25" s="4" t="inlineStr">
        <is>
          <t>João Paulo</t>
        </is>
      </c>
      <c r="F25" s="5" t="n">
        <v>46091</v>
      </c>
      <c r="G25" s="6" t="n">
        <v>859</v>
      </c>
      <c r="H25" s="7" t="inlineStr">
        <is>
          <t>Pago</t>
        </is>
      </c>
      <c r="I25" s="5" t="n">
        <v>46093</v>
      </c>
      <c r="J25" s="3">
        <f>IF(ISBLANK(I25), IF(TODAY()&gt;F25, TODAY()-F25, 0), 0)</f>
        <v/>
      </c>
      <c r="K25" s="3">
        <f>IF(J25&gt;90, "Acima de 90 dias", IF(J25&gt;30, "De 30 a 90 dias", IF(J25&gt;0, "Até 30 dias", "Em dia")))</f>
        <v/>
      </c>
    </row>
    <row r="26">
      <c r="B26" s="8" t="n">
        <v>22</v>
      </c>
      <c r="C26" s="8" t="inlineStr">
        <is>
          <t>03/2026</t>
        </is>
      </c>
      <c r="D26" s="8" t="inlineStr">
        <is>
          <t>Apto 302</t>
        </is>
      </c>
      <c r="E26" s="9" t="inlineStr">
        <is>
          <t>Luciana Mendes</t>
        </is>
      </c>
      <c r="F26" s="10" t="n">
        <v>46091</v>
      </c>
      <c r="G26" s="11" t="n">
        <v>871</v>
      </c>
      <c r="H26" s="7" t="inlineStr">
        <is>
          <t>Pago</t>
        </is>
      </c>
      <c r="I26" s="10" t="n">
        <v>46093</v>
      </c>
      <c r="J26" s="8">
        <f>IF(ISBLANK(I26), IF(TODAY()&gt;F26, TODAY()-F26, 0), 0)</f>
        <v/>
      </c>
      <c r="K26" s="8">
        <f>IF(J26&gt;90, "Acima de 90 dias", IF(J26&gt;30, "De 30 a 90 dias", IF(J26&gt;0, "Até 30 dias", "Em dia")))</f>
        <v/>
      </c>
    </row>
    <row r="27">
      <c r="B27" s="3" t="n">
        <v>23</v>
      </c>
      <c r="C27" s="3" t="inlineStr">
        <is>
          <t>03/2026</t>
        </is>
      </c>
      <c r="D27" s="3" t="inlineStr">
        <is>
          <t>Apto 401</t>
        </is>
      </c>
      <c r="E27" s="4" t="inlineStr">
        <is>
          <t>Pedro Henrique</t>
        </is>
      </c>
      <c r="F27" s="5" t="n">
        <v>46091</v>
      </c>
      <c r="G27" s="6" t="n">
        <v>871</v>
      </c>
      <c r="H27" s="7" t="inlineStr">
        <is>
          <t>Pago</t>
        </is>
      </c>
      <c r="I27" s="5" t="n">
        <v>46093</v>
      </c>
      <c r="J27" s="3">
        <f>IF(ISBLANK(I27), IF(TODAY()&gt;F27, TODAY()-F27, 0), 0)</f>
        <v/>
      </c>
      <c r="K27" s="3">
        <f>IF(J27&gt;90, "Acima de 90 dias", IF(J27&gt;30, "De 30 a 90 dias", IF(J27&gt;0, "Até 30 dias", "Em dia")))</f>
        <v/>
      </c>
    </row>
    <row r="28">
      <c r="B28" s="8" t="n">
        <v>24</v>
      </c>
      <c r="C28" s="8" t="inlineStr">
        <is>
          <t>03/2026</t>
        </is>
      </c>
      <c r="D28" s="8" t="inlineStr">
        <is>
          <t>Apto 402</t>
        </is>
      </c>
      <c r="E28" s="9" t="inlineStr">
        <is>
          <t>Camila Rocha</t>
        </is>
      </c>
      <c r="F28" s="10" t="n">
        <v>46091</v>
      </c>
      <c r="G28" s="11" t="n">
        <v>865</v>
      </c>
      <c r="H28" s="12" t="inlineStr">
        <is>
          <t>Vencido</t>
        </is>
      </c>
      <c r="I28" s="8" t="n"/>
      <c r="J28" s="8">
        <f>IF(ISBLANK(I28), IF(TODAY()&gt;F28, TODAY()-F28, 0), 0)</f>
        <v/>
      </c>
      <c r="K28" s="8">
        <f>IF(J28&gt;90, "Acima de 90 dias", IF(J28&gt;30, "De 30 a 90 dias", IF(J28&gt;0, "Até 30 dias", "Em dia")))</f>
        <v/>
      </c>
    </row>
    <row r="29">
      <c r="B29" s="3" t="n">
        <v>25</v>
      </c>
      <c r="C29" s="3" t="inlineStr">
        <is>
          <t>04/2026</t>
        </is>
      </c>
      <c r="D29" s="3" t="inlineStr">
        <is>
          <t>Apto 101</t>
        </is>
      </c>
      <c r="E29" s="4" t="inlineStr">
        <is>
          <t>Carlos Silva</t>
        </is>
      </c>
      <c r="F29" s="5" t="n">
        <v>46122</v>
      </c>
      <c r="G29" s="6" t="n">
        <v>885</v>
      </c>
      <c r="H29" s="7" t="inlineStr">
        <is>
          <t>Pago</t>
        </is>
      </c>
      <c r="I29" s="5" t="n">
        <v>46124</v>
      </c>
      <c r="J29" s="3">
        <f>IF(ISBLANK(I29), IF(TODAY()&gt;F29, TODAY()-F29, 0), 0)</f>
        <v/>
      </c>
      <c r="K29" s="3">
        <f>IF(J29&gt;90, "Acima de 90 dias", IF(J29&gt;30, "De 30 a 90 dias", IF(J29&gt;0, "Até 30 dias", "Em dia")))</f>
        <v/>
      </c>
    </row>
    <row r="30">
      <c r="B30" s="8" t="n">
        <v>26</v>
      </c>
      <c r="C30" s="8" t="inlineStr">
        <is>
          <t>04/2026</t>
        </is>
      </c>
      <c r="D30" s="8" t="inlineStr">
        <is>
          <t>Apto 102</t>
        </is>
      </c>
      <c r="E30" s="9" t="inlineStr">
        <is>
          <t>Mariana Costa</t>
        </is>
      </c>
      <c r="F30" s="10" t="n">
        <v>46122</v>
      </c>
      <c r="G30" s="11" t="n">
        <v>889</v>
      </c>
      <c r="H30" s="12" t="inlineStr">
        <is>
          <t>Vencido</t>
        </is>
      </c>
      <c r="I30" s="8" t="n"/>
      <c r="J30" s="8">
        <f>IF(ISBLANK(I30), IF(TODAY()&gt;F30, TODAY()-F30, 0), 0)</f>
        <v/>
      </c>
      <c r="K30" s="8">
        <f>IF(J30&gt;90, "Acima de 90 dias", IF(J30&gt;30, "De 30 a 90 dias", IF(J30&gt;0, "Até 30 dias", "Em dia")))</f>
        <v/>
      </c>
    </row>
    <row r="31">
      <c r="B31" s="3" t="n">
        <v>27</v>
      </c>
      <c r="C31" s="3" t="inlineStr">
        <is>
          <t>04/2026</t>
        </is>
      </c>
      <c r="D31" s="3" t="inlineStr">
        <is>
          <t>Apto 201</t>
        </is>
      </c>
      <c r="E31" s="4" t="inlineStr">
        <is>
          <t>Roberto Alves</t>
        </is>
      </c>
      <c r="F31" s="5" t="n">
        <v>46122</v>
      </c>
      <c r="G31" s="6" t="n">
        <v>889</v>
      </c>
      <c r="H31" s="7" t="inlineStr">
        <is>
          <t>Pago</t>
        </is>
      </c>
      <c r="I31" s="5" t="n">
        <v>46124</v>
      </c>
      <c r="J31" s="3">
        <f>IF(ISBLANK(I31), IF(TODAY()&gt;F31, TODAY()-F31, 0), 0)</f>
        <v/>
      </c>
      <c r="K31" s="3">
        <f>IF(J31&gt;90, "Acima de 90 dias", IF(J31&gt;30, "De 30 a 90 dias", IF(J31&gt;0, "Até 30 dias", "Em dia")))</f>
        <v/>
      </c>
    </row>
    <row r="32">
      <c r="B32" s="8" t="n">
        <v>28</v>
      </c>
      <c r="C32" s="8" t="inlineStr">
        <is>
          <t>04/2026</t>
        </is>
      </c>
      <c r="D32" s="8" t="inlineStr">
        <is>
          <t>Apto 202</t>
        </is>
      </c>
      <c r="E32" s="9" t="inlineStr">
        <is>
          <t>Fernanda Lima</t>
        </is>
      </c>
      <c r="F32" s="10" t="n">
        <v>46122</v>
      </c>
      <c r="G32" s="11" t="n">
        <v>889</v>
      </c>
      <c r="H32" s="7" t="inlineStr">
        <is>
          <t>Pago</t>
        </is>
      </c>
      <c r="I32" s="10" t="n">
        <v>46124</v>
      </c>
      <c r="J32" s="8">
        <f>IF(ISBLANK(I32), IF(TODAY()&gt;F32, TODAY()-F32, 0), 0)</f>
        <v/>
      </c>
      <c r="K32" s="8">
        <f>IF(J32&gt;90, "Acima de 90 dias", IF(J32&gt;30, "De 30 a 90 dias", IF(J32&gt;0, "Até 30 dias", "Em dia")))</f>
        <v/>
      </c>
    </row>
    <row r="33">
      <c r="B33" s="3" t="n">
        <v>29</v>
      </c>
      <c r="C33" s="3" t="inlineStr">
        <is>
          <t>04/2026</t>
        </is>
      </c>
      <c r="D33" s="3" t="inlineStr">
        <is>
          <t>Apto 301</t>
        </is>
      </c>
      <c r="E33" s="4" t="inlineStr">
        <is>
          <t>João Paulo</t>
        </is>
      </c>
      <c r="F33" s="5" t="n">
        <v>46122</v>
      </c>
      <c r="G33" s="6" t="n">
        <v>877</v>
      </c>
      <c r="H33" s="7" t="inlineStr">
        <is>
          <t>Pago</t>
        </is>
      </c>
      <c r="I33" s="5" t="n">
        <v>46124</v>
      </c>
      <c r="J33" s="3">
        <f>IF(ISBLANK(I33), IF(TODAY()&gt;F33, TODAY()-F33, 0), 0)</f>
        <v/>
      </c>
      <c r="K33" s="3">
        <f>IF(J33&gt;90, "Acima de 90 dias", IF(J33&gt;30, "De 30 a 90 dias", IF(J33&gt;0, "Até 30 dias", "Em dia")))</f>
        <v/>
      </c>
    </row>
    <row r="34">
      <c r="B34" s="8" t="n">
        <v>30</v>
      </c>
      <c r="C34" s="8" t="inlineStr">
        <is>
          <t>04/2026</t>
        </is>
      </c>
      <c r="D34" s="8" t="inlineStr">
        <is>
          <t>Apto 302</t>
        </is>
      </c>
      <c r="E34" s="9" t="inlineStr">
        <is>
          <t>Luciana Mendes</t>
        </is>
      </c>
      <c r="F34" s="10" t="n">
        <v>46122</v>
      </c>
      <c r="G34" s="11" t="n">
        <v>893</v>
      </c>
      <c r="H34" s="7" t="inlineStr">
        <is>
          <t>Pago</t>
        </is>
      </c>
      <c r="I34" s="10" t="n">
        <v>46124</v>
      </c>
      <c r="J34" s="8">
        <f>IF(ISBLANK(I34), IF(TODAY()&gt;F34, TODAY()-F34, 0), 0)</f>
        <v/>
      </c>
      <c r="K34" s="8">
        <f>IF(J34&gt;90, "Acima de 90 dias", IF(J34&gt;30, "De 30 a 90 dias", IF(J34&gt;0, "Até 30 dias", "Em dia")))</f>
        <v/>
      </c>
    </row>
    <row r="35">
      <c r="B35" s="3" t="n">
        <v>31</v>
      </c>
      <c r="C35" s="3" t="inlineStr">
        <is>
          <t>04/2026</t>
        </is>
      </c>
      <c r="D35" s="3" t="inlineStr">
        <is>
          <t>Apto 401</t>
        </is>
      </c>
      <c r="E35" s="4" t="inlineStr">
        <is>
          <t>Pedro Henrique</t>
        </is>
      </c>
      <c r="F35" s="5" t="n">
        <v>46122</v>
      </c>
      <c r="G35" s="6" t="n">
        <v>893</v>
      </c>
      <c r="H35" s="7" t="inlineStr">
        <is>
          <t>Pago</t>
        </is>
      </c>
      <c r="I35" s="5" t="n">
        <v>46124</v>
      </c>
      <c r="J35" s="3">
        <f>IF(ISBLANK(I35), IF(TODAY()&gt;F35, TODAY()-F35, 0), 0)</f>
        <v/>
      </c>
      <c r="K35" s="3">
        <f>IF(J35&gt;90, "Acima de 90 dias", IF(J35&gt;30, "De 30 a 90 dias", IF(J35&gt;0, "Até 30 dias", "Em dia")))</f>
        <v/>
      </c>
    </row>
    <row r="36">
      <c r="B36" s="8" t="n">
        <v>32</v>
      </c>
      <c r="C36" s="8" t="inlineStr">
        <is>
          <t>04/2026</t>
        </is>
      </c>
      <c r="D36" s="8" t="inlineStr">
        <is>
          <t>Apto 402</t>
        </is>
      </c>
      <c r="E36" s="9" t="inlineStr">
        <is>
          <t>Camila Rocha</t>
        </is>
      </c>
      <c r="F36" s="10" t="n">
        <v>46122</v>
      </c>
      <c r="G36" s="11" t="n">
        <v>885</v>
      </c>
      <c r="H36" s="7" t="inlineStr">
        <is>
          <t>Pago</t>
        </is>
      </c>
      <c r="I36" s="10" t="n">
        <v>46124</v>
      </c>
      <c r="J36" s="8">
        <f>IF(ISBLANK(I36), IF(TODAY()&gt;F36, TODAY()-F36, 0), 0)</f>
        <v/>
      </c>
      <c r="K36" s="8">
        <f>IF(J36&gt;90, "Acima de 90 dias", IF(J36&gt;30, "De 30 a 90 dias", IF(J36&gt;0, "Até 30 dias", "Em dia")))</f>
        <v/>
      </c>
    </row>
    <row r="37">
      <c r="B37" s="3" t="n">
        <v>33</v>
      </c>
      <c r="C37" s="3" t="inlineStr">
        <is>
          <t>05/2026</t>
        </is>
      </c>
      <c r="D37" s="3" t="inlineStr">
        <is>
          <t>Apto 101</t>
        </is>
      </c>
      <c r="E37" s="4" t="inlineStr">
        <is>
          <t>Carlos Silva</t>
        </is>
      </c>
      <c r="F37" s="5" t="n">
        <v>46152</v>
      </c>
      <c r="G37" s="6" t="n">
        <v>860</v>
      </c>
      <c r="H37" s="7" t="inlineStr">
        <is>
          <t>Pago</t>
        </is>
      </c>
      <c r="I37" s="5" t="n">
        <v>46154</v>
      </c>
      <c r="J37" s="3">
        <f>IF(ISBLANK(I37), IF(TODAY()&gt;F37, TODAY()-F37, 0), 0)</f>
        <v/>
      </c>
      <c r="K37" s="3">
        <f>IF(J37&gt;90, "Acima de 90 dias", IF(J37&gt;30, "De 30 a 90 dias", IF(J37&gt;0, "Até 30 dias", "Em dia")))</f>
        <v/>
      </c>
    </row>
    <row r="38">
      <c r="B38" s="8" t="n">
        <v>34</v>
      </c>
      <c r="C38" s="8" t="inlineStr">
        <is>
          <t>05/2026</t>
        </is>
      </c>
      <c r="D38" s="8" t="inlineStr">
        <is>
          <t>Apto 102</t>
        </is>
      </c>
      <c r="E38" s="9" t="inlineStr">
        <is>
          <t>Mariana Costa</t>
        </is>
      </c>
      <c r="F38" s="10" t="n">
        <v>46152</v>
      </c>
      <c r="G38" s="11" t="n">
        <v>865</v>
      </c>
      <c r="H38" s="7" t="inlineStr">
        <is>
          <t>Pago</t>
        </is>
      </c>
      <c r="I38" s="10" t="n">
        <v>46154</v>
      </c>
      <c r="J38" s="8">
        <f>IF(ISBLANK(I38), IF(TODAY()&gt;F38, TODAY()-F38, 0), 0)</f>
        <v/>
      </c>
      <c r="K38" s="8">
        <f>IF(J38&gt;90, "Acima de 90 dias", IF(J38&gt;30, "De 30 a 90 dias", IF(J38&gt;0, "Até 30 dias", "Em dia")))</f>
        <v/>
      </c>
    </row>
    <row r="39">
      <c r="B39" s="3" t="n">
        <v>35</v>
      </c>
      <c r="C39" s="3" t="inlineStr">
        <is>
          <t>05/2026</t>
        </is>
      </c>
      <c r="D39" s="3" t="inlineStr">
        <is>
          <t>Apto 201</t>
        </is>
      </c>
      <c r="E39" s="4" t="inlineStr">
        <is>
          <t>Roberto Alves</t>
        </is>
      </c>
      <c r="F39" s="5" t="n">
        <v>46152</v>
      </c>
      <c r="G39" s="6" t="n">
        <v>865</v>
      </c>
      <c r="H39" s="7" t="inlineStr">
        <is>
          <t>Pago</t>
        </is>
      </c>
      <c r="I39" s="5" t="n">
        <v>46154</v>
      </c>
      <c r="J39" s="3">
        <f>IF(ISBLANK(I39), IF(TODAY()&gt;F39, TODAY()-F39, 0), 0)</f>
        <v/>
      </c>
      <c r="K39" s="3">
        <f>IF(J39&gt;90, "Acima de 90 dias", IF(J39&gt;30, "De 30 a 90 dias", IF(J39&gt;0, "Até 30 dias", "Em dia")))</f>
        <v/>
      </c>
    </row>
    <row r="40">
      <c r="B40" s="8" t="n">
        <v>36</v>
      </c>
      <c r="C40" s="8" t="inlineStr">
        <is>
          <t>05/2026</t>
        </is>
      </c>
      <c r="D40" s="8" t="inlineStr">
        <is>
          <t>Apto 202</t>
        </is>
      </c>
      <c r="E40" s="9" t="inlineStr">
        <is>
          <t>Fernanda Lima</t>
        </is>
      </c>
      <c r="F40" s="10" t="n">
        <v>46152</v>
      </c>
      <c r="G40" s="11" t="n">
        <v>865</v>
      </c>
      <c r="H40" s="7" t="inlineStr">
        <is>
          <t>Pago</t>
        </is>
      </c>
      <c r="I40" s="10" t="n">
        <v>46154</v>
      </c>
      <c r="J40" s="8">
        <f>IF(ISBLANK(I40), IF(TODAY()&gt;F40, TODAY()-F40, 0), 0)</f>
        <v/>
      </c>
      <c r="K40" s="8">
        <f>IF(J40&gt;90, "Acima de 90 dias", IF(J40&gt;30, "De 30 a 90 dias", IF(J40&gt;0, "Até 30 dias", "Em dia")))</f>
        <v/>
      </c>
    </row>
    <row r="41">
      <c r="B41" s="3" t="n">
        <v>37</v>
      </c>
      <c r="C41" s="3" t="inlineStr">
        <is>
          <t>05/2026</t>
        </is>
      </c>
      <c r="D41" s="3" t="inlineStr">
        <is>
          <t>Apto 301</t>
        </is>
      </c>
      <c r="E41" s="4" t="inlineStr">
        <is>
          <t>João Paulo</t>
        </is>
      </c>
      <c r="F41" s="5" t="n">
        <v>46152</v>
      </c>
      <c r="G41" s="6" t="n">
        <v>850</v>
      </c>
      <c r="H41" s="7" t="inlineStr">
        <is>
          <t>Pago</t>
        </is>
      </c>
      <c r="I41" s="5" t="n">
        <v>46154</v>
      </c>
      <c r="J41" s="3">
        <f>IF(ISBLANK(I41), IF(TODAY()&gt;F41, TODAY()-F41, 0), 0)</f>
        <v/>
      </c>
      <c r="K41" s="3">
        <f>IF(J41&gt;90, "Acima de 90 dias", IF(J41&gt;30, "De 30 a 90 dias", IF(J41&gt;0, "Até 30 dias", "Em dia")))</f>
        <v/>
      </c>
    </row>
    <row r="42">
      <c r="B42" s="8" t="n">
        <v>38</v>
      </c>
      <c r="C42" s="8" t="inlineStr">
        <is>
          <t>05/2026</t>
        </is>
      </c>
      <c r="D42" s="8" t="inlineStr">
        <is>
          <t>Apto 302</t>
        </is>
      </c>
      <c r="E42" s="9" t="inlineStr">
        <is>
          <t>Luciana Mendes</t>
        </is>
      </c>
      <c r="F42" s="10" t="n">
        <v>46152</v>
      </c>
      <c r="G42" s="11" t="n">
        <v>870</v>
      </c>
      <c r="H42" s="12" t="inlineStr">
        <is>
          <t>Vencido</t>
        </is>
      </c>
      <c r="I42" s="8" t="n"/>
      <c r="J42" s="8">
        <f>IF(ISBLANK(I42), IF(TODAY()&gt;F42, TODAY()-F42, 0), 0)</f>
        <v/>
      </c>
      <c r="K42" s="8">
        <f>IF(J42&gt;90, "Acima de 90 dias", IF(J42&gt;30, "De 30 a 90 dias", IF(J42&gt;0, "Até 30 dias", "Em dia")))</f>
        <v/>
      </c>
    </row>
    <row r="43">
      <c r="B43" s="3" t="n">
        <v>39</v>
      </c>
      <c r="C43" s="3" t="inlineStr">
        <is>
          <t>05/2026</t>
        </is>
      </c>
      <c r="D43" s="3" t="inlineStr">
        <is>
          <t>Apto 401</t>
        </is>
      </c>
      <c r="E43" s="4" t="inlineStr">
        <is>
          <t>Pedro Henrique</t>
        </is>
      </c>
      <c r="F43" s="5" t="n">
        <v>46152</v>
      </c>
      <c r="G43" s="6" t="n">
        <v>870</v>
      </c>
      <c r="H43" s="7" t="inlineStr">
        <is>
          <t>Pago</t>
        </is>
      </c>
      <c r="I43" s="5" t="n">
        <v>46154</v>
      </c>
      <c r="J43" s="3">
        <f>IF(ISBLANK(I43), IF(TODAY()&gt;F43, TODAY()-F43, 0), 0)</f>
        <v/>
      </c>
      <c r="K43" s="3">
        <f>IF(J43&gt;90, "Acima de 90 dias", IF(J43&gt;30, "De 30 a 90 dias", IF(J43&gt;0, "Até 30 dias", "Em dia")))</f>
        <v/>
      </c>
    </row>
    <row r="44">
      <c r="B44" s="8" t="n">
        <v>40</v>
      </c>
      <c r="C44" s="8" t="inlineStr">
        <is>
          <t>05/2026</t>
        </is>
      </c>
      <c r="D44" s="8" t="inlineStr">
        <is>
          <t>Apto 402</t>
        </is>
      </c>
      <c r="E44" s="9" t="inlineStr">
        <is>
          <t>Camila Rocha</t>
        </is>
      </c>
      <c r="F44" s="10" t="n">
        <v>46152</v>
      </c>
      <c r="G44" s="11" t="n">
        <v>860</v>
      </c>
      <c r="H44" s="7" t="inlineStr">
        <is>
          <t>Pago</t>
        </is>
      </c>
      <c r="I44" s="10" t="n">
        <v>46154</v>
      </c>
      <c r="J44" s="8">
        <f>IF(ISBLANK(I44), IF(TODAY()&gt;F44, TODAY()-F44, 0), 0)</f>
        <v/>
      </c>
      <c r="K44" s="8">
        <f>IF(J44&gt;90, "Acima de 90 dias", IF(J44&gt;30, "De 30 a 90 dias", IF(J44&gt;0, "Até 30 dias", "Em dia")))</f>
        <v/>
      </c>
    </row>
    <row r="45">
      <c r="B45" s="3" t="n">
        <v>41</v>
      </c>
      <c r="C45" s="3" t="inlineStr">
        <is>
          <t>06/2026</t>
        </is>
      </c>
      <c r="D45" s="3" t="inlineStr">
        <is>
          <t>Apto 101</t>
        </is>
      </c>
      <c r="E45" s="4" t="inlineStr">
        <is>
          <t>Carlos Silva</t>
        </is>
      </c>
      <c r="F45" s="5" t="n">
        <v>46183</v>
      </c>
      <c r="G45" s="6" t="n">
        <v>880</v>
      </c>
      <c r="H45" s="7" t="inlineStr">
        <is>
          <t>Pago</t>
        </is>
      </c>
      <c r="I45" s="5" t="n">
        <v>46185</v>
      </c>
      <c r="J45" s="3">
        <f>IF(ISBLANK(I45), IF(TODAY()&gt;F45, TODAY()-F45, 0), 0)</f>
        <v/>
      </c>
      <c r="K45" s="3">
        <f>IF(J45&gt;90, "Acima de 90 dias", IF(J45&gt;30, "De 30 a 90 dias", IF(J45&gt;0, "Até 30 dias", "Em dia")))</f>
        <v/>
      </c>
    </row>
    <row r="46">
      <c r="B46" s="8" t="n">
        <v>42</v>
      </c>
      <c r="C46" s="8" t="inlineStr">
        <is>
          <t>06/2026</t>
        </is>
      </c>
      <c r="D46" s="8" t="inlineStr">
        <is>
          <t>Apto 102</t>
        </is>
      </c>
      <c r="E46" s="9" t="inlineStr">
        <is>
          <t>Mariana Costa</t>
        </is>
      </c>
      <c r="F46" s="10" t="n">
        <v>46183</v>
      </c>
      <c r="G46" s="11" t="n">
        <v>886</v>
      </c>
      <c r="H46" s="7" t="inlineStr">
        <is>
          <t>Pago</t>
        </is>
      </c>
      <c r="I46" s="10" t="n">
        <v>46185</v>
      </c>
      <c r="J46" s="8">
        <f>IF(ISBLANK(I46), IF(TODAY()&gt;F46, TODAY()-F46, 0), 0)</f>
        <v/>
      </c>
      <c r="K46" s="8">
        <f>IF(J46&gt;90, "Acima de 90 dias", IF(J46&gt;30, "De 30 a 90 dias", IF(J46&gt;0, "Até 30 dias", "Em dia")))</f>
        <v/>
      </c>
    </row>
    <row r="47">
      <c r="B47" s="3" t="n">
        <v>43</v>
      </c>
      <c r="C47" s="3" t="inlineStr">
        <is>
          <t>06/2026</t>
        </is>
      </c>
      <c r="D47" s="3" t="inlineStr">
        <is>
          <t>Apto 201</t>
        </is>
      </c>
      <c r="E47" s="4" t="inlineStr">
        <is>
          <t>Roberto Alves</t>
        </is>
      </c>
      <c r="F47" s="5" t="n">
        <v>46183</v>
      </c>
      <c r="G47" s="6" t="n">
        <v>886</v>
      </c>
      <c r="H47" s="7" t="inlineStr">
        <is>
          <t>Pago</t>
        </is>
      </c>
      <c r="I47" s="5" t="n">
        <v>46185</v>
      </c>
      <c r="J47" s="3">
        <f>IF(ISBLANK(I47), IF(TODAY()&gt;F47, TODAY()-F47, 0), 0)</f>
        <v/>
      </c>
      <c r="K47" s="3">
        <f>IF(J47&gt;90, "Acima de 90 dias", IF(J47&gt;30, "De 30 a 90 dias", IF(J47&gt;0, "Até 30 dias", "Em dia")))</f>
        <v/>
      </c>
    </row>
    <row r="48">
      <c r="B48" s="8" t="n">
        <v>44</v>
      </c>
      <c r="C48" s="8" t="inlineStr">
        <is>
          <t>06/2026</t>
        </is>
      </c>
      <c r="D48" s="8" t="inlineStr">
        <is>
          <t>Apto 202</t>
        </is>
      </c>
      <c r="E48" s="9" t="inlineStr">
        <is>
          <t>Fernanda Lima</t>
        </is>
      </c>
      <c r="F48" s="10" t="n">
        <v>46183</v>
      </c>
      <c r="G48" s="11" t="n">
        <v>886</v>
      </c>
      <c r="H48" s="12" t="inlineStr">
        <is>
          <t>Vencido</t>
        </is>
      </c>
      <c r="I48" s="8" t="n"/>
      <c r="J48" s="8">
        <f>IF(ISBLANK(I48), IF(TODAY()&gt;F48, TODAY()-F48, 0), 0)</f>
        <v/>
      </c>
      <c r="K48" s="8">
        <f>IF(J48&gt;90, "Acima de 90 dias", IF(J48&gt;30, "De 30 a 90 dias", IF(J48&gt;0, "Até 30 dias", "Em dia")))</f>
        <v/>
      </c>
    </row>
    <row r="49">
      <c r="B49" s="3" t="n">
        <v>45</v>
      </c>
      <c r="C49" s="3" t="inlineStr">
        <is>
          <t>06/2026</t>
        </is>
      </c>
      <c r="D49" s="3" t="inlineStr">
        <is>
          <t>Apto 301</t>
        </is>
      </c>
      <c r="E49" s="4" t="inlineStr">
        <is>
          <t>João Paulo</t>
        </is>
      </c>
      <c r="F49" s="5" t="n">
        <v>46183</v>
      </c>
      <c r="G49" s="6" t="n">
        <v>868</v>
      </c>
      <c r="H49" s="7" t="inlineStr">
        <is>
          <t>Pago</t>
        </is>
      </c>
      <c r="I49" s="5" t="n">
        <v>46185</v>
      </c>
      <c r="J49" s="3">
        <f>IF(ISBLANK(I49), IF(TODAY()&gt;F49, TODAY()-F49, 0), 0)</f>
        <v/>
      </c>
      <c r="K49" s="3">
        <f>IF(J49&gt;90, "Acima de 90 dias", IF(J49&gt;30, "De 30 a 90 dias", IF(J49&gt;0, "Até 30 dias", "Em dia")))</f>
        <v/>
      </c>
    </row>
    <row r="50">
      <c r="B50" s="8" t="n">
        <v>46</v>
      </c>
      <c r="C50" s="8" t="inlineStr">
        <is>
          <t>06/2026</t>
        </is>
      </c>
      <c r="D50" s="8" t="inlineStr">
        <is>
          <t>Apto 302</t>
        </is>
      </c>
      <c r="E50" s="9" t="inlineStr">
        <is>
          <t>Luciana Mendes</t>
        </is>
      </c>
      <c r="F50" s="10" t="n">
        <v>46183</v>
      </c>
      <c r="G50" s="11" t="n">
        <v>892</v>
      </c>
      <c r="H50" s="7" t="inlineStr">
        <is>
          <t>Pago</t>
        </is>
      </c>
      <c r="I50" s="10" t="n">
        <v>46185</v>
      </c>
      <c r="J50" s="8">
        <f>IF(ISBLANK(I50), IF(TODAY()&gt;F50, TODAY()-F50, 0), 0)</f>
        <v/>
      </c>
      <c r="K50" s="8">
        <f>IF(J50&gt;90, "Acima de 90 dias", IF(J50&gt;30, "De 30 a 90 dias", IF(J50&gt;0, "Até 30 dias", "Em dia")))</f>
        <v/>
      </c>
    </row>
    <row r="51">
      <c r="B51" s="3" t="n">
        <v>47</v>
      </c>
      <c r="C51" s="3" t="inlineStr">
        <is>
          <t>06/2026</t>
        </is>
      </c>
      <c r="D51" s="3" t="inlineStr">
        <is>
          <t>Apto 401</t>
        </is>
      </c>
      <c r="E51" s="4" t="inlineStr">
        <is>
          <t>Pedro Henrique</t>
        </is>
      </c>
      <c r="F51" s="5" t="n">
        <v>46183</v>
      </c>
      <c r="G51" s="6" t="n">
        <v>892</v>
      </c>
      <c r="H51" s="7" t="inlineStr">
        <is>
          <t>Pago</t>
        </is>
      </c>
      <c r="I51" s="5" t="n">
        <v>46185</v>
      </c>
      <c r="J51" s="3">
        <f>IF(ISBLANK(I51), IF(TODAY()&gt;F51, TODAY()-F51, 0), 0)</f>
        <v/>
      </c>
      <c r="K51" s="3">
        <f>IF(J51&gt;90, "Acima de 90 dias", IF(J51&gt;30, "De 30 a 90 dias", IF(J51&gt;0, "Até 30 dias", "Em dia")))</f>
        <v/>
      </c>
    </row>
    <row r="52">
      <c r="B52" s="8" t="n">
        <v>48</v>
      </c>
      <c r="C52" s="8" t="inlineStr">
        <is>
          <t>06/2026</t>
        </is>
      </c>
      <c r="D52" s="8" t="inlineStr">
        <is>
          <t>Apto 402</t>
        </is>
      </c>
      <c r="E52" s="9" t="inlineStr">
        <is>
          <t>Camila Rocha</t>
        </is>
      </c>
      <c r="F52" s="10" t="n">
        <v>46183</v>
      </c>
      <c r="G52" s="11" t="n">
        <v>880</v>
      </c>
      <c r="H52" s="7" t="inlineStr">
        <is>
          <t>Pago</t>
        </is>
      </c>
      <c r="I52" s="10" t="n">
        <v>46185</v>
      </c>
      <c r="J52" s="8">
        <f>IF(ISBLANK(I52), IF(TODAY()&gt;F52, TODAY()-F52, 0), 0)</f>
        <v/>
      </c>
      <c r="K52" s="8">
        <f>IF(J52&gt;90, "Acima de 90 dias", IF(J52&gt;30, "De 30 a 90 dias", IF(J52&gt;0, "Até 30 dias", "Em dia")))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2026-07-09T18:56:25Z</dcterms:created>
  <dcterms:modified xmlns:dcterms="http://purl.org/dc/terms/" xmlns:xsi="http://www.w3.org/2001/XMLSchema-instance" xsi:type="dcterms:W3CDTF">2026-07-09T18:56:25Z</dcterms:modified>
</cp:coreProperties>
</file>